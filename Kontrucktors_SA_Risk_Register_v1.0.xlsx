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ument Info" sheetId="1" state="visible" r:id="rId3"/>
    <sheet name="Risk Register" sheetId="2" state="visible" r:id="rId4"/>
    <sheet name="Risk Treatment Plan" sheetId="3" state="visible" r:id="rId5"/>
    <sheet name="Risk Heat Map" sheetId="4" state="visible" r:id="rId6"/>
  </sheets>
  <definedNames>
    <definedName function="false" hidden="true" localSheetId="1" name="_xlnm._FilterDatabase" vbProcedure="false">'Risk Register'!$A$2:$P$17</definedName>
    <definedName function="false" hidden="true" localSheetId="2" name="_xlnm._FilterDatabase" vbProcedure="false">'Risk Treatment Plan'!$A$2:$I$17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<sst xmlns="http://schemas.openxmlformats.org/spreadsheetml/2006/main" count="498" uniqueCount="287">
  <si>
    <t xml:space="preserve">KONTRUCKTORS SA
Risk Register and Risk Treatment Plan
KSA-RM-001  |  Version 1.0  |  Confidential</t>
  </si>
  <si>
    <t xml:space="preserve">Document Reference</t>
  </si>
  <si>
    <t xml:space="preserve">KSA-RM-001</t>
  </si>
  <si>
    <t xml:space="preserve">Version</t>
  </si>
  <si>
    <t xml:space="preserve">1.0</t>
  </si>
  <si>
    <t xml:space="preserve">Classification</t>
  </si>
  <si>
    <t xml:space="preserve">Confidential</t>
  </si>
  <si>
    <t xml:space="preserve">Effective Date</t>
  </si>
  <si>
    <t xml:space="preserve">15 September 2026</t>
  </si>
  <si>
    <t xml:space="preserve">Review Date</t>
  </si>
  <si>
    <t xml:space="preserve">15 September 2027</t>
  </si>
  <si>
    <t xml:space="preserve">Document Owner</t>
  </si>
  <si>
    <t xml:space="preserve">Information Security Manager</t>
  </si>
  <si>
    <t xml:space="preserve">Approved By</t>
  </si>
  <si>
    <t xml:space="preserve">Chief Executive Officer</t>
  </si>
  <si>
    <t xml:space="preserve">Related Documents</t>
  </si>
  <si>
    <t xml:space="preserve">KSA-ISP-002 Information Security Policy; KSA-ISP-AUP-001 Acceptable Use Policy</t>
  </si>
  <si>
    <t xml:space="preserve">Risk Appetite Statement</t>
  </si>
  <si>
    <t xml:space="preserve">Kontrucktors SA accepts LOW residual risk. MEDIUM risk requires treatment plan. HIGH and CRITICAL risk require immediate action and CEO approval to accept.</t>
  </si>
  <si>
    <t xml:space="preserve">RISK SCORING MATRIX</t>
  </si>
  <si>
    <t xml:space="preserve">Likelihood x Impact = Risk Score</t>
  </si>
  <si>
    <t xml:space="preserve">Likelihood 1: Rare</t>
  </si>
  <si>
    <t xml:space="preserve">Impact 1: Negligible</t>
  </si>
  <si>
    <t xml:space="preserve">Likelihood 2: Unlikely</t>
  </si>
  <si>
    <t xml:space="preserve">Impact 2: Minor</t>
  </si>
  <si>
    <t xml:space="preserve">Likelihood 3: Possible</t>
  </si>
  <si>
    <t xml:space="preserve">Impact 3: Moderate</t>
  </si>
  <si>
    <t xml:space="preserve">Likelihood 4: Likely</t>
  </si>
  <si>
    <t xml:space="preserve">Impact 4: Major</t>
  </si>
  <si>
    <t xml:space="preserve">Likelihood 5: Almost Certain</t>
  </si>
  <si>
    <t xml:space="preserve">Impact 5: Critical</t>
  </si>
  <si>
    <t xml:space="preserve">Score 1-4: LOW</t>
  </si>
  <si>
    <t xml:space="preserve">Score 5-9: MEDIUM</t>
  </si>
  <si>
    <t xml:space="preserve">Score 10-16: HIGH</t>
  </si>
  <si>
    <t xml:space="preserve">Score 17-25: CRITICAL</t>
  </si>
  <si>
    <t xml:space="preserve">KONTRUCKTORS SA  |  Risk Register  |  KSA-RM-001  |  Version 1.0  |  Confidential</t>
  </si>
  <si>
    <t xml:space="preserve">Risk ID</t>
  </si>
  <si>
    <t xml:space="preserve">Asset / Process</t>
  </si>
  <si>
    <t xml:space="preserve">Risk Description</t>
  </si>
  <si>
    <t xml:space="preserve">Threat / Vulnerability</t>
  </si>
  <si>
    <t xml:space="preserve">Risk Category</t>
  </si>
  <si>
    <t xml:space="preserve">Likelihood
(1-5)</t>
  </si>
  <si>
    <t xml:space="preserve">Impact
(1-5)</t>
  </si>
  <si>
    <t xml:space="preserve">Inherent
Risk Score</t>
  </si>
  <si>
    <t xml:space="preserve">Inherent
Risk Rating</t>
  </si>
  <si>
    <t xml:space="preserve">Existing Controls</t>
  </si>
  <si>
    <t xml:space="preserve">Residual
Likelihood</t>
  </si>
  <si>
    <t xml:space="preserve">Residual
Impact</t>
  </si>
  <si>
    <t xml:space="preserve">Residual
Risk Score</t>
  </si>
  <si>
    <t xml:space="preserve">Residual
Risk Rating</t>
  </si>
  <si>
    <t xml:space="preserve">Treatment
Option</t>
  </si>
  <si>
    <t xml:space="preserve">Risk Owner</t>
  </si>
  <si>
    <t xml:space="preserve">R-001</t>
  </si>
  <si>
    <t xml:space="preserve">Customer Contract Database</t>
  </si>
  <si>
    <t xml:space="preserve">Unauthorised access to customer leasing and sales contracts containing personal and financial data</t>
  </si>
  <si>
    <t xml:space="preserve">Weak access controls; absence of MFA for internal systems</t>
  </si>
  <si>
    <t xml:space="preserve">Data Protection / FADP</t>
  </si>
  <si>
    <t xml:space="preserve">High</t>
  </si>
  <si>
    <t xml:space="preserve">Basic username/password authentication; network firewall in place</t>
  </si>
  <si>
    <t xml:space="preserve">Medium</t>
  </si>
  <si>
    <t xml:space="preserve">Reduce</t>
  </si>
  <si>
    <t xml:space="preserve">IT Manager</t>
  </si>
  <si>
    <t xml:space="preserve">R-002</t>
  </si>
  <si>
    <t xml:space="preserve">Employee Laptops (All Offices)</t>
  </si>
  <si>
    <t xml:space="preserve">Loss or theft of company laptop containing unencrypted confidential data in field operations</t>
  </si>
  <si>
    <t xml:space="preserve">Physical theft; remote work; lack of full-disk encryption enforcement</t>
  </si>
  <si>
    <t xml:space="preserve">Physical / Asset Management</t>
  </si>
  <si>
    <t xml:space="preserve">Asset tracking register maintained; IT support available</t>
  </si>
  <si>
    <t xml:space="preserve">R-003</t>
  </si>
  <si>
    <t xml:space="preserve">Email Systems</t>
  </si>
  <si>
    <t xml:space="preserve">Phishing attack resulting in compromise of employee credentials and access to company systems</t>
  </si>
  <si>
    <t xml:space="preserve">Social engineering; lack of security awareness training</t>
  </si>
  <si>
    <t xml:space="preserve">Cyber / Human Factor</t>
  </si>
  <si>
    <t xml:space="preserve">Spam filter in place; basic IT policy communicated at onboarding</t>
  </si>
  <si>
    <t xml:space="preserve">R-004</t>
  </si>
  <si>
    <t xml:space="preserve">Fleet Management System</t>
  </si>
  <si>
    <t xml:space="preserve">Ransomware infection encrypting fleet scheduling and maintenance records, halting operations</t>
  </si>
  <si>
    <t xml:space="preserve">Unpatched software; no endpoint detection and response (EDR) tooling</t>
  </si>
  <si>
    <t xml:space="preserve">Cyber / Operational</t>
  </si>
  <si>
    <t xml:space="preserve">Antivirus software on workstations; periodic manual backups</t>
  </si>
  <si>
    <t xml:space="preserve">R-005</t>
  </si>
  <si>
    <t xml:space="preserve">Supplier Integrations</t>
  </si>
  <si>
    <t xml:space="preserve">Third-party supplier with access to company systems suffers a breach, exposing Kontrucktors SA data</t>
  </si>
  <si>
    <t xml:space="preserve">Insufficient supplier security assessment; no contractual security obligations</t>
  </si>
  <si>
    <t xml:space="preserve">Third Party / Supply Chain</t>
  </si>
  <si>
    <t xml:space="preserve">Standard contracts in place; no formal security assessment conducted</t>
  </si>
  <si>
    <t xml:space="preserve">R-006</t>
  </si>
  <si>
    <t xml:space="preserve">HR and Payroll System</t>
  </si>
  <si>
    <t xml:space="preserve">Insider threat: disgruntled or departing employee exfiltrates sensitive HR or payroll data</t>
  </si>
  <si>
    <t xml:space="preserve">Insufficient offboarding procedures; excessive access rights retained post-departure</t>
  </si>
  <si>
    <t xml:space="preserve">Insider Threat / HR</t>
  </si>
  <si>
    <t xml:space="preserve">Informal offboarding checklist; HR notifies IT on departure</t>
  </si>
  <si>
    <t xml:space="preserve">Low</t>
  </si>
  <si>
    <t xml:space="preserve">HR Manager</t>
  </si>
  <si>
    <t xml:space="preserve">R-007</t>
  </si>
  <si>
    <t xml:space="preserve">Cloud Storage (All Locations)</t>
  </si>
  <si>
    <t xml:space="preserve">Misconfiguration of cloud storage bucket exposes internal documents to the public internet</t>
  </si>
  <si>
    <t xml:space="preserve">Lack of cloud security expertise; no cloud configuration review process</t>
  </si>
  <si>
    <t xml:space="preserve">Cloud / Configuration</t>
  </si>
  <si>
    <t xml:space="preserve">Cloud provider default settings applied; no formal review</t>
  </si>
  <si>
    <t xml:space="preserve">R-008</t>
  </si>
  <si>
    <t xml:space="preserve">Office Networks (Geneva, Lausanne, Zurich, Lugano)</t>
  </si>
  <si>
    <t xml:space="preserve">Unauthorised physical access to office network infrastructure enabling network interception</t>
  </si>
  <si>
    <t xml:space="preserve">Unsecured server rooms; visitor access not consistently controlled</t>
  </si>
  <si>
    <t xml:space="preserve">Physical / Network</t>
  </si>
  <si>
    <t xml:space="preserve">Reception sign-in for visitors; basic door lock on server room</t>
  </si>
  <si>
    <t xml:space="preserve">Facilities Manager</t>
  </si>
  <si>
    <t xml:space="preserve">R-009</t>
  </si>
  <si>
    <t xml:space="preserve">Business Operations (All)</t>
  </si>
  <si>
    <t xml:space="preserve">Extended system outage due to power failure or infrastructure incident at any office location</t>
  </si>
  <si>
    <t xml:space="preserve">Single points of failure; no formal business continuity or disaster recovery plan</t>
  </si>
  <si>
    <t xml:space="preserve">Availability / Business Continuity</t>
  </si>
  <si>
    <t xml:space="preserve">UPS units in Geneva office only; manual workarounds possible for short outages</t>
  </si>
  <si>
    <t xml:space="preserve">CEO</t>
  </si>
  <si>
    <t xml:space="preserve">R-010</t>
  </si>
  <si>
    <t xml:space="preserve">GDPR and FADP Compliance</t>
  </si>
  <si>
    <t xml:space="preserve">Regulatory breach resulting in fines and reputational damage due to non-compliance with FADP or GDPR</t>
  </si>
  <si>
    <t xml:space="preserve">Incomplete data mapping; no formal Data Protection Officer appointed; no breach notification procedure</t>
  </si>
  <si>
    <t xml:space="preserve">Legal / Regulatory</t>
  </si>
  <si>
    <t xml:space="preserve">Legal counsel engaged on an ad hoc basis; basic privacy notices published</t>
  </si>
  <si>
    <t xml:space="preserve">R-011</t>
  </si>
  <si>
    <t xml:space="preserve">Customer Portal / Website</t>
  </si>
  <si>
    <t xml:space="preserve">Web application vulnerability exploited to access customer account data or inject malicious content</t>
  </si>
  <si>
    <t xml:space="preserve">Absence of regular penetration testing; no web application firewall</t>
  </si>
  <si>
    <t xml:space="preserve">Cyber / Application</t>
  </si>
  <si>
    <t xml:space="preserve">Hosting provider applies standard protections; no custom security testing</t>
  </si>
  <si>
    <t xml:space="preserve">R-012</t>
  </si>
  <si>
    <t xml:space="preserve">Finance and Billing Systems</t>
  </si>
  <si>
    <t xml:space="preserve">Fraudulent invoice manipulation or payment redirection through compromise of finance systems</t>
  </si>
  <si>
    <t xml:space="preserve">Business email compromise; insufficient payment verification controls</t>
  </si>
  <si>
    <t xml:space="preserve">Financial / Fraud</t>
  </si>
  <si>
    <t xml:space="preserve">Dual authorisation for large payments; finance team awareness informal</t>
  </si>
  <si>
    <t xml:space="preserve">Finance Director</t>
  </si>
  <si>
    <t xml:space="preserve">R-013</t>
  </si>
  <si>
    <t xml:space="preserve">All Information Systems</t>
  </si>
  <si>
    <t xml:space="preserve">Failure to detect a security breach due to absence of security monitoring and logging</t>
  </si>
  <si>
    <t xml:space="preserve">No SIEM or centralised log management; no 24/7 monitoring capability</t>
  </si>
  <si>
    <t xml:space="preserve">Cyber / Detection</t>
  </si>
  <si>
    <t xml:space="preserve">Individual system logs available but not centralised or reviewed</t>
  </si>
  <si>
    <t xml:space="preserve">R-014</t>
  </si>
  <si>
    <t xml:space="preserve">Password Management (All Users)</t>
  </si>
  <si>
    <t xml:space="preserve">Account compromise through weak, reused, or shared passwords across systems</t>
  </si>
  <si>
    <t xml:space="preserve">No enforced password policy; no password manager deployed company-wide</t>
  </si>
  <si>
    <t xml:space="preserve">Cyber / Authentication</t>
  </si>
  <si>
    <t xml:space="preserve">IT policy states password requirements but enforcement is manual</t>
  </si>
  <si>
    <t xml:space="preserve">R-015</t>
  </si>
  <si>
    <t xml:space="preserve">Office Premises (All Locations)</t>
  </si>
  <si>
    <t xml:space="preserve">Damage to IT equipment and data due to fire, flood, or other physical disaster at office location</t>
  </si>
  <si>
    <t xml:space="preserve">No off-site backup for all locations; geographic concentration of infrastructure</t>
  </si>
  <si>
    <t xml:space="preserve">Physical / Environmental</t>
  </si>
  <si>
    <t xml:space="preserve">Insurance in place; Geneva office has off-site backup only</t>
  </si>
  <si>
    <t xml:space="preserve">Reduce/Transfer</t>
  </si>
  <si>
    <t xml:space="preserve">KONTRUCKTORS SA  |  Risk Treatment Plan  |  KSA-RM-001  |  Version 1.0  |  Confidential</t>
  </si>
  <si>
    <t xml:space="preserve">Risk Description (Summary)</t>
  </si>
  <si>
    <t xml:space="preserve">Treatment Actions</t>
  </si>
  <si>
    <t xml:space="preserve">ISO 27001:2022
Control Reference</t>
  </si>
  <si>
    <t xml:space="preserve">Responsible
Owner</t>
  </si>
  <si>
    <t xml:space="preserve">Target Completion
Date</t>
  </si>
  <si>
    <t xml:space="preserve">Status</t>
  </si>
  <si>
    <t xml:space="preserve">Notes</t>
  </si>
  <si>
    <t xml:space="preserve">Unauthorised access to customer contract database</t>
  </si>
  <si>
    <t xml:space="preserve">1. Enforce MFA on all internal systems
2. Implement role-based access control (RBAC)
3. Conduct quarterly access reviews
4. Enable audit logging on database access</t>
  </si>
  <si>
    <t xml:space="preserve">A.8.2, A.8.3, A.8.4, A.8.15</t>
  </si>
  <si>
    <t xml:space="preserve">31 Oct 2026</t>
  </si>
  <si>
    <t xml:space="preserve">In Progress</t>
  </si>
  <si>
    <t xml:space="preserve">RBAC model to be designed by IT in October</t>
  </si>
  <si>
    <t xml:space="preserve">Loss or theft of unencrypted laptop</t>
  </si>
  <si>
    <t xml:space="preserve">1. Enforce full-disk encryption (BitLocker/FileVault) on all devices
2. Enrol all devices in MDM
3. Implement remote wipe capability
4. Update asset register</t>
  </si>
  <si>
    <t xml:space="preserve">A.7.9, A.8.1, A.8.3</t>
  </si>
  <si>
    <t xml:space="preserve">15 Oct 2026</t>
  </si>
  <si>
    <t xml:space="preserve">MDM tool evaluation underway</t>
  </si>
  <si>
    <t xml:space="preserve">Phishing attack compromising credentials</t>
  </si>
  <si>
    <t xml:space="preserve">1. Deploy company-wide security awareness training
2. Conduct simulated phishing exercise
3. Enable advanced email filtering
4. Enforce MFA on all email accounts</t>
  </si>
  <si>
    <t xml:space="preserve">A.6.3, A.8.6, A.8.23</t>
  </si>
  <si>
    <t xml:space="preserve">30 Nov 2026</t>
  </si>
  <si>
    <t xml:space="preserve">Planned</t>
  </si>
  <si>
    <t xml:space="preserve">Training provider to be selected by October</t>
  </si>
  <si>
    <t xml:space="preserve">Ransomware encrypting fleet management system</t>
  </si>
  <si>
    <t xml:space="preserve">1. Deploy EDR solution on all endpoints
2. Implement automated daily backups with off-site copy
3. Test backup restoration quarterly
4. Apply OS and application patches within 14 days of release</t>
  </si>
  <si>
    <t xml:space="preserve">A.8.7, A.8.8, A.8.13</t>
  </si>
  <si>
    <t xml:space="preserve">EDR vendor shortlisted; backup procedure in draft</t>
  </si>
  <si>
    <t xml:space="preserve">Third-party supplier breach exposing company data</t>
  </si>
  <si>
    <t xml:space="preserve">1. Implement supplier security assessment process
2. Include security obligations in all supplier contracts
3. Maintain approved supplier register
4. Require breach notification clauses in all DPAs</t>
  </si>
  <si>
    <t xml:space="preserve">A.5.19, A.5.20, A.5.22</t>
  </si>
  <si>
    <t xml:space="preserve">Standard supplier security questionnaire to be drafted</t>
  </si>
  <si>
    <t xml:space="preserve">Insider threat: data exfiltration by departing employee</t>
  </si>
  <si>
    <t xml:space="preserve">1. Formalise offboarding checklist with immediate access revocation
2. Implement HR-IT notification SLA of same business day
3. Conduct exit interviews including data return confirmation
4. Review access rights monthly for role changes</t>
  </si>
  <si>
    <t xml:space="preserve">A.6.5, A.8.2, A.8.3</t>
  </si>
  <si>
    <t xml:space="preserve">Offboarding procedure to be drafted jointly by HR and IT</t>
  </si>
  <si>
    <t xml:space="preserve">Cloud storage misconfiguration</t>
  </si>
  <si>
    <t xml:space="preserve">1. Conduct cloud security configuration review
2. Enable cloud security posture management (CSPM) tooling
3. Apply least-privilege to all cloud storage buckets
4. Schedule quarterly cloud configuration audits</t>
  </si>
  <si>
    <t xml:space="preserve">A.8.9, A.8.10, A.5.23</t>
  </si>
  <si>
    <t xml:space="preserve">Cloud audit to be scoped in October</t>
  </si>
  <si>
    <t xml:space="preserve">Unauthorised physical access to network infrastructure</t>
  </si>
  <si>
    <t xml:space="preserve">1. Install access-controlled locks on all server rooms at all four offices
2. Implement visitor management log across all locations
3. Review physical access rights quarterly</t>
  </si>
  <si>
    <t xml:space="preserve">A.7.1, A.7.2, A.7.3</t>
  </si>
  <si>
    <t xml:space="preserve">31 Dec 2026</t>
  </si>
  <si>
    <t xml:space="preserve">Physical security assessment to be conducted per office</t>
  </si>
  <si>
    <t xml:space="preserve">Extended system outage due to infrastructure failure</t>
  </si>
  <si>
    <t xml:space="preserve">1. Develop and document Business Continuity Plan
2. Deploy UPS to Lausanne, Zurich, and Lugano offices
3. Define RTO and RPO for all critical systems
4. Conduct annual BCP tabletop exercise</t>
  </si>
  <si>
    <t xml:space="preserve">A.5.29, A.5.30, A.8.13</t>
  </si>
  <si>
    <t xml:space="preserve">28 Feb 2027</t>
  </si>
  <si>
    <t xml:space="preserve">BCP project to be initiated Q4 2026</t>
  </si>
  <si>
    <t xml:space="preserve">GDPR/FADP regulatory breach</t>
  </si>
  <si>
    <t xml:space="preserve">1. Complete personal data mapping exercise across all offices
2. Appoint or designate Data Protection contact
3. Develop breach notification procedure
4. Conduct annual FADP/GDPR compliance review</t>
  </si>
  <si>
    <t xml:space="preserve">A.5.31, A.5.34</t>
  </si>
  <si>
    <t xml:space="preserve">31 Jan 2027</t>
  </si>
  <si>
    <t xml:space="preserve">Data mapping to commence October 2026</t>
  </si>
  <si>
    <t xml:space="preserve">Web application vulnerability exploitation</t>
  </si>
  <si>
    <t xml:space="preserve">1. Commission annual penetration test of customer portal
2. Deploy web application firewall (WAF)
3. Implement secure development guidelines
4. Review third-party hosting provider SLAs</t>
  </si>
  <si>
    <t xml:space="preserve">A.8.8, A.8.25, A.8.26</t>
  </si>
  <si>
    <t xml:space="preserve">Penetration test to be budgeted for Q1 2027</t>
  </si>
  <si>
    <t xml:space="preserve">Fraudulent invoice manipulation</t>
  </si>
  <si>
    <t xml:space="preserve">1. Formalise dual-authorisation policy for all payments above CHF 10,000
2. Implement supplier bank account change verification procedure
3. Conduct finance team security awareness session</t>
  </si>
  <si>
    <t xml:space="preserve">A.5.15, A.8.22</t>
  </si>
  <si>
    <t xml:space="preserve">Payment control procedure to be drafted by Finance</t>
  </si>
  <si>
    <t xml:space="preserve">Failure to detect security breach (no monitoring)</t>
  </si>
  <si>
    <t xml:space="preserve">1. Implement centralised log management solution
2. Define log retention period of minimum 12 months
3. Establish security event review process (weekly minimum)
4. Evaluate SIEM solution for future deployment</t>
  </si>
  <si>
    <t xml:space="preserve">A.8.15, A.8.16, A.8.17</t>
  </si>
  <si>
    <t xml:space="preserve">Log management solution to be selected Q4 2026</t>
  </si>
  <si>
    <t xml:space="preserve">Account compromise through weak passwords</t>
  </si>
  <si>
    <t xml:space="preserve">1. Enforce password policy via Active Directory Group Policy
2. Deploy company-wide password manager
3. Block commonly used and breached passwords
4. Enforce MFA as primary control</t>
  </si>
  <si>
    <t xml:space="preserve">A.8.2, A.8.5</t>
  </si>
  <si>
    <t xml:space="preserve">Password manager evaluation complete; deployment planned</t>
  </si>
  <si>
    <t xml:space="preserve">Physical disaster at office location</t>
  </si>
  <si>
    <t xml:space="preserve">1. Implement off-site backup for all four office locations
2. Document disaster recovery procedure per site
3. Test recovery from backup quarterly
4. Review insurance coverage adequacy</t>
  </si>
  <si>
    <t xml:space="preserve">A.7.4, A.7.5, A.8.13</t>
  </si>
  <si>
    <t xml:space="preserve">Off-site backup to be extended to Lausanne, Zurich, Lugano in Q4</t>
  </si>
  <si>
    <t xml:space="preserve">KONTRUCKTORS SA  |  Risk Heat Map  |  Inherent Risk Ratings</t>
  </si>
  <si>
    <t xml:space="preserve">LIKELIHOOD</t>
  </si>
  <si>
    <t xml:space="preserve">IMPACT</t>
  </si>
  <si>
    <t xml:space="preserve">1 Negligible</t>
  </si>
  <si>
    <t xml:space="preserve">2 Minor</t>
  </si>
  <si>
    <t xml:space="preserve">3 Moderate</t>
  </si>
  <si>
    <t xml:space="preserve">4 Major</t>
  </si>
  <si>
    <t xml:space="preserve">5 Critical</t>
  </si>
  <si>
    <t xml:space="preserve">5 Almost Certain</t>
  </si>
  <si>
    <t xml:space="preserve">MEDIUM
Score: 5</t>
  </si>
  <si>
    <t xml:space="preserve">HIGH
Score: 10</t>
  </si>
  <si>
    <t xml:space="preserve">HIGH
Score: 15</t>
  </si>
  <si>
    <t xml:space="preserve">CRITICAL
Score: 20</t>
  </si>
  <si>
    <t xml:space="preserve">CRITICAL
Score: 25</t>
  </si>
  <si>
    <t xml:space="preserve">4 Likely</t>
  </si>
  <si>
    <t xml:space="preserve">LOW
Score: 4</t>
  </si>
  <si>
    <t xml:space="preserve">MEDIUM
Score: 8</t>
  </si>
  <si>
    <t xml:space="preserve">HIGH
Score: 12</t>
  </si>
  <si>
    <t xml:space="preserve">HIGH
Score: 16</t>
  </si>
  <si>
    <t xml:space="preserve">3 Possible</t>
  </si>
  <si>
    <t xml:space="preserve">LOW
Score: 3</t>
  </si>
  <si>
    <t xml:space="preserve">MEDIUM
Score: 6</t>
  </si>
  <si>
    <t xml:space="preserve">MEDIUM
Score: 9</t>
  </si>
  <si>
    <t xml:space="preserve">2 Unlikely</t>
  </si>
  <si>
    <t xml:space="preserve">LOW
Score: 2</t>
  </si>
  <si>
    <t xml:space="preserve">1 Rare</t>
  </si>
  <si>
    <t xml:space="preserve">LOW
Score: 1</t>
  </si>
  <si>
    <t xml:space="preserve">RISK PLACEMENT ON HEAT MAP</t>
  </si>
  <si>
    <t xml:space="preserve">Asset/Process</t>
  </si>
  <si>
    <t xml:space="preserve">Likelihood</t>
  </si>
  <si>
    <t xml:space="preserve">Impact</t>
  </si>
  <si>
    <t xml:space="preserve">Score</t>
  </si>
  <si>
    <t xml:space="preserve">Inherent Rating</t>
  </si>
  <si>
    <t xml:space="preserve">Treatment</t>
  </si>
  <si>
    <t xml:space="preserve">Customer Contract DB</t>
  </si>
  <si>
    <t xml:space="preserve">3</t>
  </si>
  <si>
    <t xml:space="preserve">5</t>
  </si>
  <si>
    <t xml:space="preserve">15</t>
  </si>
  <si>
    <t xml:space="preserve">R</t>
  </si>
  <si>
    <t xml:space="preserve">Employee Laptops</t>
  </si>
  <si>
    <t xml:space="preserve">4</t>
  </si>
  <si>
    <t xml:space="preserve">16</t>
  </si>
  <si>
    <t xml:space="preserve">Email / Phishing</t>
  </si>
  <si>
    <t xml:space="preserve">Fleet System Ransomware</t>
  </si>
  <si>
    <t xml:space="preserve">Supplier Breach</t>
  </si>
  <si>
    <t xml:space="preserve">12</t>
  </si>
  <si>
    <t xml:space="preserve">Insider Threat</t>
  </si>
  <si>
    <t xml:space="preserve">2</t>
  </si>
  <si>
    <t xml:space="preserve">10</t>
  </si>
  <si>
    <t xml:space="preserve">Cloud Misconfiguration</t>
  </si>
  <si>
    <t xml:space="preserve">Physical Network Access</t>
  </si>
  <si>
    <t xml:space="preserve">8</t>
  </si>
  <si>
    <t xml:space="preserve">System Outage</t>
  </si>
  <si>
    <t xml:space="preserve">GDPR/FADP Breach</t>
  </si>
  <si>
    <t xml:space="preserve">Web App Vulnerability</t>
  </si>
  <si>
    <t xml:space="preserve">Invoice Fraud</t>
  </si>
  <si>
    <t xml:space="preserve">No Security Monitoring</t>
  </si>
  <si>
    <t xml:space="preserve">Weak Passwords</t>
  </si>
  <si>
    <t xml:space="preserve">Physical Disaster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</si>
</sst>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9C6500"/>
      <name val="Arial"/>
      <family val="0"/>
      <charset val="1"/>
    </font>
    <font>
      <b val="true"/>
      <sz val="9"/>
      <color rgb="FF7F4C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4A4A4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CC99"/>
      </patternFill>
    </fill>
    <fill>
      <patternFill patternType="solid">
        <fgColor rgb="FFFFCC99"/>
        <bgColor rgb="FFFFC7CE"/>
      </patternFill>
    </fill>
    <fill>
      <patternFill patternType="solid">
        <fgColor rgb="FFFFC7CE"/>
        <bgColor rgb="FFFFCC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C99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7F4C00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4A4A4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7F4C00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</cols>
  <sheetData>
    <row r="1" customFormat="false" ht="79.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1"/>
      <c r="B2" s="1"/>
    </row>
    <row r="3" customFormat="false" ht="15" hidden="false" customHeight="false" outlineLevel="0" collapsed="false">
      <c r="A3" s="1"/>
      <c r="B3" s="1"/>
    </row>
    <row r="4" customFormat="false" ht="15" hidden="false" customHeight="false" outlineLevel="0" collapsed="false">
      <c r="A4" s="1"/>
      <c r="B4" s="1"/>
    </row>
    <row r="6" customFormat="false" ht="15" hidden="false" customHeight="false" outlineLevel="0" collapsed="false">
      <c r="A6" s="2" t="s">
        <v>1</v>
      </c>
      <c r="B6" s="3" t="s">
        <v>2</v>
      </c>
    </row>
    <row r="7" customFormat="false" ht="15" hidden="false" customHeight="false" outlineLevel="0" collapsed="false">
      <c r="A7" s="4" t="s">
        <v>3</v>
      </c>
      <c r="B7" s="5" t="s">
        <v>4</v>
      </c>
    </row>
    <row r="8" customFormat="false" ht="15" hidden="false" customHeight="false" outlineLevel="0" collapsed="false">
      <c r="A8" s="2" t="s">
        <v>5</v>
      </c>
      <c r="B8" s="3" t="s">
        <v>6</v>
      </c>
    </row>
    <row r="9" customFormat="false" ht="15" hidden="false" customHeight="false" outlineLevel="0" collapsed="false">
      <c r="A9" s="4" t="s">
        <v>7</v>
      </c>
      <c r="B9" s="5" t="s">
        <v>8</v>
      </c>
    </row>
    <row r="10" customFormat="false" ht="15" hidden="false" customHeight="false" outlineLevel="0" collapsed="false">
      <c r="A10" s="2" t="s">
        <v>9</v>
      </c>
      <c r="B10" s="3" t="s">
        <v>10</v>
      </c>
    </row>
    <row r="11" customFormat="false" ht="15" hidden="false" customHeight="false" outlineLevel="0" collapsed="false">
      <c r="A11" s="4" t="s">
        <v>11</v>
      </c>
      <c r="B11" s="5" t="s">
        <v>12</v>
      </c>
    </row>
    <row r="12" customFormat="false" ht="15" hidden="false" customHeight="false" outlineLevel="0" collapsed="false">
      <c r="A12" s="2" t="s">
        <v>13</v>
      </c>
      <c r="B12" s="3" t="s">
        <v>14</v>
      </c>
    </row>
    <row r="13" customFormat="false" ht="15" hidden="false" customHeight="false" outlineLevel="0" collapsed="false">
      <c r="A13" s="4" t="s">
        <v>15</v>
      </c>
      <c r="B13" s="5" t="s">
        <v>16</v>
      </c>
    </row>
    <row r="14" customFormat="false" ht="15" hidden="false" customHeight="false" outlineLevel="0" collapsed="false">
      <c r="A14" s="2" t="s">
        <v>17</v>
      </c>
      <c r="B14" s="3" t="s">
        <v>18</v>
      </c>
    </row>
    <row r="16" customFormat="false" ht="19.5" hidden="false" customHeight="true" outlineLevel="0" collapsed="false">
      <c r="A16" s="6" t="s">
        <v>19</v>
      </c>
      <c r="B16" s="6"/>
    </row>
    <row r="17" customFormat="false" ht="15" hidden="false" customHeight="false" outlineLevel="0" collapsed="false">
      <c r="A17" s="7" t="s">
        <v>20</v>
      </c>
      <c r="B17" s="7"/>
    </row>
    <row r="18" customFormat="false" ht="15" hidden="false" customHeight="false" outlineLevel="0" collapsed="false">
      <c r="A18" s="8" t="s">
        <v>21</v>
      </c>
      <c r="B18" s="8" t="s">
        <v>22</v>
      </c>
    </row>
    <row r="19" customFormat="false" ht="15" hidden="false" customHeight="false" outlineLevel="0" collapsed="false">
      <c r="A19" s="8" t="s">
        <v>23</v>
      </c>
      <c r="B19" s="8" t="s">
        <v>24</v>
      </c>
    </row>
    <row r="20" customFormat="false" ht="15" hidden="false" customHeight="false" outlineLevel="0" collapsed="false">
      <c r="A20" s="8" t="s">
        <v>25</v>
      </c>
      <c r="B20" s="8" t="s">
        <v>26</v>
      </c>
    </row>
    <row r="21" customFormat="false" ht="15" hidden="false" customHeight="false" outlineLevel="0" collapsed="false">
      <c r="A21" s="8" t="s">
        <v>27</v>
      </c>
      <c r="B21" s="8" t="s">
        <v>28</v>
      </c>
    </row>
    <row r="22" customFormat="false" ht="15" hidden="false" customHeight="false" outlineLevel="0" collapsed="false">
      <c r="A22" s="8" t="s">
        <v>29</v>
      </c>
      <c r="B22" s="8" t="s">
        <v>30</v>
      </c>
    </row>
    <row r="24" customFormat="false" ht="15" hidden="false" customHeight="false" outlineLevel="0" collapsed="false">
      <c r="A24" s="9" t="s">
        <v>31</v>
      </c>
      <c r="B24" s="10" t="s">
        <v>32</v>
      </c>
    </row>
    <row r="25" customFormat="false" ht="15" hidden="false" customHeight="false" outlineLevel="0" collapsed="false">
      <c r="A25" s="11" t="s">
        <v>33</v>
      </c>
      <c r="B25" s="12" t="s">
        <v>34</v>
      </c>
    </row>
  </sheetData>
  <mergeCells count="3">
    <mergeCell ref="A1:B4"/>
    <mergeCell ref="A16:B16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2" min="11" style="0" width="10"/>
    <col collapsed="false" customWidth="true" hidden="false" outlineLevel="0" max="13" min="13" style="0" width="14"/>
    <col collapsed="false" customWidth="true" hidden="false" outlineLevel="0" max="14" min="14" style="0" width="22"/>
    <col collapsed="false" customWidth="true" hidden="false" outlineLevel="0" max="15" min="15" style="0" width="14"/>
    <col collapsed="false" customWidth="true" hidden="false" outlineLevel="0" max="16" min="16" style="0" width="28"/>
  </cols>
  <sheetData>
    <row r="1" customFormat="false" ht="13.5" hidden="false" customHeight="true" outlineLevel="0" collapsed="false">
      <c r="A1" s="13" t="s">
        <v>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customFormat="false" ht="45" hidden="false" customHeight="true" outlineLevel="0" collapsed="false">
      <c r="A2" s="14" t="s">
        <v>36</v>
      </c>
      <c r="B2" s="14" t="s">
        <v>37</v>
      </c>
      <c r="C2" s="14" t="s">
        <v>38</v>
      </c>
      <c r="D2" s="14" t="s">
        <v>39</v>
      </c>
      <c r="E2" s="14" t="s">
        <v>40</v>
      </c>
      <c r="F2" s="14" t="s">
        <v>41</v>
      </c>
      <c r="G2" s="14" t="s">
        <v>42</v>
      </c>
      <c r="H2" s="14" t="s">
        <v>43</v>
      </c>
      <c r="I2" s="14" t="s">
        <v>44</v>
      </c>
      <c r="J2" s="14" t="s">
        <v>45</v>
      </c>
      <c r="K2" s="14" t="s">
        <v>46</v>
      </c>
      <c r="L2" s="14" t="s">
        <v>47</v>
      </c>
      <c r="M2" s="14" t="s">
        <v>48</v>
      </c>
      <c r="N2" s="14" t="s">
        <v>49</v>
      </c>
      <c r="O2" s="14" t="s">
        <v>50</v>
      </c>
      <c r="P2" s="14" t="s">
        <v>51</v>
      </c>
    </row>
    <row r="3" customFormat="false" ht="54.75" hidden="false" customHeight="true" outlineLevel="0" collapsed="false">
      <c r="A3" s="15" t="s">
        <v>52</v>
      </c>
      <c r="B3" s="16" t="s">
        <v>53</v>
      </c>
      <c r="C3" s="16" t="s">
        <v>54</v>
      </c>
      <c r="D3" s="16" t="s">
        <v>55</v>
      </c>
      <c r="E3" s="16" t="s">
        <v>56</v>
      </c>
      <c r="F3" s="15" t="n">
        <v>3</v>
      </c>
      <c r="G3" s="15" t="n">
        <v>5</v>
      </c>
      <c r="H3" s="15" t="n">
        <f aca="false">F3*G3</f>
        <v>15</v>
      </c>
      <c r="I3" s="17" t="s">
        <v>57</v>
      </c>
      <c r="J3" s="16" t="s">
        <v>58</v>
      </c>
      <c r="K3" s="15" t="n">
        <v>2</v>
      </c>
      <c r="L3" s="15" t="n">
        <v>4</v>
      </c>
      <c r="M3" s="15" t="n">
        <f aca="false">K3*L3</f>
        <v>8</v>
      </c>
      <c r="N3" s="18" t="s">
        <v>59</v>
      </c>
      <c r="O3" s="15" t="s">
        <v>60</v>
      </c>
      <c r="P3" s="16" t="s">
        <v>61</v>
      </c>
    </row>
    <row r="4" customFormat="false" ht="54.75" hidden="false" customHeight="true" outlineLevel="0" collapsed="false">
      <c r="A4" s="19" t="s">
        <v>62</v>
      </c>
      <c r="B4" s="20" t="s">
        <v>63</v>
      </c>
      <c r="C4" s="20" t="s">
        <v>64</v>
      </c>
      <c r="D4" s="20" t="s">
        <v>65</v>
      </c>
      <c r="E4" s="20" t="s">
        <v>66</v>
      </c>
      <c r="F4" s="19" t="n">
        <v>4</v>
      </c>
      <c r="G4" s="19" t="n">
        <v>4</v>
      </c>
      <c r="H4" s="19" t="n">
        <f aca="false">F4*G4</f>
        <v>16</v>
      </c>
      <c r="I4" s="17" t="s">
        <v>57</v>
      </c>
      <c r="J4" s="20" t="s">
        <v>67</v>
      </c>
      <c r="K4" s="19" t="n">
        <v>2</v>
      </c>
      <c r="L4" s="19" t="n">
        <v>3</v>
      </c>
      <c r="M4" s="19" t="n">
        <f aca="false">K4*L4</f>
        <v>6</v>
      </c>
      <c r="N4" s="18" t="s">
        <v>59</v>
      </c>
      <c r="O4" s="19" t="s">
        <v>60</v>
      </c>
      <c r="P4" s="20" t="s">
        <v>61</v>
      </c>
    </row>
    <row r="5" customFormat="false" ht="54.75" hidden="false" customHeight="true" outlineLevel="0" collapsed="false">
      <c r="A5" s="15" t="s">
        <v>68</v>
      </c>
      <c r="B5" s="16" t="s">
        <v>69</v>
      </c>
      <c r="C5" s="16" t="s">
        <v>70</v>
      </c>
      <c r="D5" s="16" t="s">
        <v>71</v>
      </c>
      <c r="E5" s="16" t="s">
        <v>72</v>
      </c>
      <c r="F5" s="15" t="n">
        <v>4</v>
      </c>
      <c r="G5" s="15" t="n">
        <v>4</v>
      </c>
      <c r="H5" s="15" t="n">
        <f aca="false">F5*G5</f>
        <v>16</v>
      </c>
      <c r="I5" s="17" t="s">
        <v>57</v>
      </c>
      <c r="J5" s="16" t="s">
        <v>73</v>
      </c>
      <c r="K5" s="15" t="n">
        <v>2</v>
      </c>
      <c r="L5" s="15" t="n">
        <v>3</v>
      </c>
      <c r="M5" s="15" t="n">
        <f aca="false">K5*L5</f>
        <v>6</v>
      </c>
      <c r="N5" s="18" t="s">
        <v>59</v>
      </c>
      <c r="O5" s="15" t="s">
        <v>60</v>
      </c>
      <c r="P5" s="16" t="s">
        <v>12</v>
      </c>
    </row>
    <row r="6" customFormat="false" ht="54.75" hidden="false" customHeight="true" outlineLevel="0" collapsed="false">
      <c r="A6" s="19" t="s">
        <v>74</v>
      </c>
      <c r="B6" s="20" t="s">
        <v>75</v>
      </c>
      <c r="C6" s="20" t="s">
        <v>76</v>
      </c>
      <c r="D6" s="20" t="s">
        <v>77</v>
      </c>
      <c r="E6" s="20" t="s">
        <v>78</v>
      </c>
      <c r="F6" s="19" t="n">
        <v>3</v>
      </c>
      <c r="G6" s="19" t="n">
        <v>5</v>
      </c>
      <c r="H6" s="19" t="n">
        <f aca="false">F6*G6</f>
        <v>15</v>
      </c>
      <c r="I6" s="17" t="s">
        <v>57</v>
      </c>
      <c r="J6" s="20" t="s">
        <v>79</v>
      </c>
      <c r="K6" s="19" t="n">
        <v>2</v>
      </c>
      <c r="L6" s="19" t="n">
        <v>4</v>
      </c>
      <c r="M6" s="19" t="n">
        <f aca="false">K6*L6</f>
        <v>8</v>
      </c>
      <c r="N6" s="18" t="s">
        <v>59</v>
      </c>
      <c r="O6" s="19" t="s">
        <v>60</v>
      </c>
      <c r="P6" s="20" t="s">
        <v>61</v>
      </c>
    </row>
    <row r="7" customFormat="false" ht="54.75" hidden="false" customHeight="true" outlineLevel="0" collapsed="false">
      <c r="A7" s="15" t="s">
        <v>80</v>
      </c>
      <c r="B7" s="16" t="s">
        <v>81</v>
      </c>
      <c r="C7" s="16" t="s">
        <v>82</v>
      </c>
      <c r="D7" s="16" t="s">
        <v>83</v>
      </c>
      <c r="E7" s="16" t="s">
        <v>84</v>
      </c>
      <c r="F7" s="15" t="n">
        <v>3</v>
      </c>
      <c r="G7" s="15" t="n">
        <v>4</v>
      </c>
      <c r="H7" s="15" t="n">
        <f aca="false">F7*G7</f>
        <v>12</v>
      </c>
      <c r="I7" s="17" t="s">
        <v>57</v>
      </c>
      <c r="J7" s="16" t="s">
        <v>85</v>
      </c>
      <c r="K7" s="15" t="n">
        <v>2</v>
      </c>
      <c r="L7" s="15" t="n">
        <v>3</v>
      </c>
      <c r="M7" s="15" t="n">
        <f aca="false">K7*L7</f>
        <v>6</v>
      </c>
      <c r="N7" s="18" t="s">
        <v>59</v>
      </c>
      <c r="O7" s="15" t="s">
        <v>60</v>
      </c>
      <c r="P7" s="16" t="s">
        <v>12</v>
      </c>
    </row>
    <row r="8" customFormat="false" ht="54.75" hidden="false" customHeight="true" outlineLevel="0" collapsed="false">
      <c r="A8" s="19" t="s">
        <v>86</v>
      </c>
      <c r="B8" s="20" t="s">
        <v>87</v>
      </c>
      <c r="C8" s="20" t="s">
        <v>88</v>
      </c>
      <c r="D8" s="20" t="s">
        <v>89</v>
      </c>
      <c r="E8" s="20" t="s">
        <v>90</v>
      </c>
      <c r="F8" s="19" t="n">
        <v>2</v>
      </c>
      <c r="G8" s="19" t="n">
        <v>5</v>
      </c>
      <c r="H8" s="19" t="n">
        <f aca="false">F8*G8</f>
        <v>10</v>
      </c>
      <c r="I8" s="17" t="s">
        <v>57</v>
      </c>
      <c r="J8" s="20" t="s">
        <v>91</v>
      </c>
      <c r="K8" s="19" t="n">
        <v>1</v>
      </c>
      <c r="L8" s="19" t="n">
        <v>4</v>
      </c>
      <c r="M8" s="19" t="n">
        <f aca="false">K8*L8</f>
        <v>4</v>
      </c>
      <c r="N8" s="21" t="s">
        <v>92</v>
      </c>
      <c r="O8" s="19" t="s">
        <v>60</v>
      </c>
      <c r="P8" s="20" t="s">
        <v>93</v>
      </c>
    </row>
    <row r="9" customFormat="false" ht="54.75" hidden="false" customHeight="true" outlineLevel="0" collapsed="false">
      <c r="A9" s="15" t="s">
        <v>94</v>
      </c>
      <c r="B9" s="16" t="s">
        <v>95</v>
      </c>
      <c r="C9" s="16" t="s">
        <v>96</v>
      </c>
      <c r="D9" s="16" t="s">
        <v>97</v>
      </c>
      <c r="E9" s="16" t="s">
        <v>98</v>
      </c>
      <c r="F9" s="15" t="n">
        <v>3</v>
      </c>
      <c r="G9" s="15" t="n">
        <v>4</v>
      </c>
      <c r="H9" s="15" t="n">
        <f aca="false">F9*G9</f>
        <v>12</v>
      </c>
      <c r="I9" s="17" t="s">
        <v>57</v>
      </c>
      <c r="J9" s="16" t="s">
        <v>99</v>
      </c>
      <c r="K9" s="15" t="n">
        <v>2</v>
      </c>
      <c r="L9" s="15" t="n">
        <v>3</v>
      </c>
      <c r="M9" s="15" t="n">
        <f aca="false">K9*L9</f>
        <v>6</v>
      </c>
      <c r="N9" s="18" t="s">
        <v>59</v>
      </c>
      <c r="O9" s="15" t="s">
        <v>60</v>
      </c>
      <c r="P9" s="16" t="s">
        <v>61</v>
      </c>
    </row>
    <row r="10" customFormat="false" ht="54.75" hidden="false" customHeight="true" outlineLevel="0" collapsed="false">
      <c r="A10" s="19" t="s">
        <v>100</v>
      </c>
      <c r="B10" s="20" t="s">
        <v>101</v>
      </c>
      <c r="C10" s="20" t="s">
        <v>102</v>
      </c>
      <c r="D10" s="20" t="s">
        <v>103</v>
      </c>
      <c r="E10" s="20" t="s">
        <v>104</v>
      </c>
      <c r="F10" s="19" t="n">
        <v>2</v>
      </c>
      <c r="G10" s="19" t="n">
        <v>4</v>
      </c>
      <c r="H10" s="19" t="n">
        <f aca="false">F10*G10</f>
        <v>8</v>
      </c>
      <c r="I10" s="18" t="s">
        <v>59</v>
      </c>
      <c r="J10" s="20" t="s">
        <v>105</v>
      </c>
      <c r="K10" s="19" t="n">
        <v>1</v>
      </c>
      <c r="L10" s="19" t="n">
        <v>3</v>
      </c>
      <c r="M10" s="19" t="n">
        <f aca="false">K10*L10</f>
        <v>3</v>
      </c>
      <c r="N10" s="21" t="s">
        <v>92</v>
      </c>
      <c r="O10" s="19" t="s">
        <v>60</v>
      </c>
      <c r="P10" s="20" t="s">
        <v>106</v>
      </c>
    </row>
    <row r="11" customFormat="false" ht="54.75" hidden="false" customHeight="true" outlineLevel="0" collapsed="false">
      <c r="A11" s="15" t="s">
        <v>107</v>
      </c>
      <c r="B11" s="16" t="s">
        <v>108</v>
      </c>
      <c r="C11" s="16" t="s">
        <v>109</v>
      </c>
      <c r="D11" s="16" t="s">
        <v>110</v>
      </c>
      <c r="E11" s="16" t="s">
        <v>111</v>
      </c>
      <c r="F11" s="15" t="n">
        <v>3</v>
      </c>
      <c r="G11" s="15" t="n">
        <v>4</v>
      </c>
      <c r="H11" s="15" t="n">
        <f aca="false">F11*G11</f>
        <v>12</v>
      </c>
      <c r="I11" s="17" t="s">
        <v>57</v>
      </c>
      <c r="J11" s="16" t="s">
        <v>112</v>
      </c>
      <c r="K11" s="15" t="n">
        <v>2</v>
      </c>
      <c r="L11" s="15" t="n">
        <v>3</v>
      </c>
      <c r="M11" s="15" t="n">
        <f aca="false">K11*L11</f>
        <v>6</v>
      </c>
      <c r="N11" s="18" t="s">
        <v>59</v>
      </c>
      <c r="O11" s="15" t="s">
        <v>60</v>
      </c>
      <c r="P11" s="16" t="s">
        <v>113</v>
      </c>
    </row>
    <row r="12" customFormat="false" ht="54.75" hidden="false" customHeight="true" outlineLevel="0" collapsed="false">
      <c r="A12" s="19" t="s">
        <v>114</v>
      </c>
      <c r="B12" s="20" t="s">
        <v>115</v>
      </c>
      <c r="C12" s="20" t="s">
        <v>116</v>
      </c>
      <c r="D12" s="20" t="s">
        <v>117</v>
      </c>
      <c r="E12" s="20" t="s">
        <v>118</v>
      </c>
      <c r="F12" s="19" t="n">
        <v>2</v>
      </c>
      <c r="G12" s="19" t="n">
        <v>5</v>
      </c>
      <c r="H12" s="19" t="n">
        <f aca="false">F12*G12</f>
        <v>10</v>
      </c>
      <c r="I12" s="17" t="s">
        <v>57</v>
      </c>
      <c r="J12" s="20" t="s">
        <v>119</v>
      </c>
      <c r="K12" s="19" t="n">
        <v>1</v>
      </c>
      <c r="L12" s="19" t="n">
        <v>4</v>
      </c>
      <c r="M12" s="19" t="n">
        <f aca="false">K12*L12</f>
        <v>4</v>
      </c>
      <c r="N12" s="21" t="s">
        <v>92</v>
      </c>
      <c r="O12" s="19" t="s">
        <v>60</v>
      </c>
      <c r="P12" s="20" t="s">
        <v>12</v>
      </c>
    </row>
    <row r="13" customFormat="false" ht="54.75" hidden="false" customHeight="true" outlineLevel="0" collapsed="false">
      <c r="A13" s="15" t="s">
        <v>120</v>
      </c>
      <c r="B13" s="16" t="s">
        <v>121</v>
      </c>
      <c r="C13" s="16" t="s">
        <v>122</v>
      </c>
      <c r="D13" s="16" t="s">
        <v>123</v>
      </c>
      <c r="E13" s="16" t="s">
        <v>124</v>
      </c>
      <c r="F13" s="15" t="n">
        <v>3</v>
      </c>
      <c r="G13" s="15" t="n">
        <v>4</v>
      </c>
      <c r="H13" s="15" t="n">
        <f aca="false">F13*G13</f>
        <v>12</v>
      </c>
      <c r="I13" s="17" t="s">
        <v>57</v>
      </c>
      <c r="J13" s="16" t="s">
        <v>125</v>
      </c>
      <c r="K13" s="15" t="n">
        <v>2</v>
      </c>
      <c r="L13" s="15" t="n">
        <v>3</v>
      </c>
      <c r="M13" s="15" t="n">
        <f aca="false">K13*L13</f>
        <v>6</v>
      </c>
      <c r="N13" s="18" t="s">
        <v>59</v>
      </c>
      <c r="O13" s="15" t="s">
        <v>60</v>
      </c>
      <c r="P13" s="16" t="s">
        <v>61</v>
      </c>
    </row>
    <row r="14" customFormat="false" ht="54.75" hidden="false" customHeight="true" outlineLevel="0" collapsed="false">
      <c r="A14" s="19" t="s">
        <v>126</v>
      </c>
      <c r="B14" s="20" t="s">
        <v>127</v>
      </c>
      <c r="C14" s="20" t="s">
        <v>128</v>
      </c>
      <c r="D14" s="20" t="s">
        <v>129</v>
      </c>
      <c r="E14" s="20" t="s">
        <v>130</v>
      </c>
      <c r="F14" s="19" t="n">
        <v>2</v>
      </c>
      <c r="G14" s="19" t="n">
        <v>5</v>
      </c>
      <c r="H14" s="19" t="n">
        <f aca="false">F14*G14</f>
        <v>10</v>
      </c>
      <c r="I14" s="17" t="s">
        <v>57</v>
      </c>
      <c r="J14" s="20" t="s">
        <v>131</v>
      </c>
      <c r="K14" s="19" t="n">
        <v>1</v>
      </c>
      <c r="L14" s="19" t="n">
        <v>4</v>
      </c>
      <c r="M14" s="19" t="n">
        <f aca="false">K14*L14</f>
        <v>4</v>
      </c>
      <c r="N14" s="21" t="s">
        <v>92</v>
      </c>
      <c r="O14" s="19" t="s">
        <v>60</v>
      </c>
      <c r="P14" s="20" t="s">
        <v>132</v>
      </c>
    </row>
    <row r="15" customFormat="false" ht="54.75" hidden="false" customHeight="true" outlineLevel="0" collapsed="false">
      <c r="A15" s="15" t="s">
        <v>133</v>
      </c>
      <c r="B15" s="16" t="s">
        <v>134</v>
      </c>
      <c r="C15" s="16" t="s">
        <v>135</v>
      </c>
      <c r="D15" s="16" t="s">
        <v>136</v>
      </c>
      <c r="E15" s="16" t="s">
        <v>137</v>
      </c>
      <c r="F15" s="15" t="n">
        <v>4</v>
      </c>
      <c r="G15" s="15" t="n">
        <v>4</v>
      </c>
      <c r="H15" s="15" t="n">
        <f aca="false">F15*G15</f>
        <v>16</v>
      </c>
      <c r="I15" s="17" t="s">
        <v>57</v>
      </c>
      <c r="J15" s="16" t="s">
        <v>138</v>
      </c>
      <c r="K15" s="15" t="n">
        <v>3</v>
      </c>
      <c r="L15" s="15" t="n">
        <v>4</v>
      </c>
      <c r="M15" s="15" t="n">
        <f aca="false">K15*L15</f>
        <v>12</v>
      </c>
      <c r="N15" s="17" t="s">
        <v>57</v>
      </c>
      <c r="O15" s="15" t="s">
        <v>60</v>
      </c>
      <c r="P15" s="16" t="s">
        <v>61</v>
      </c>
    </row>
    <row r="16" customFormat="false" ht="54.75" hidden="false" customHeight="true" outlineLevel="0" collapsed="false">
      <c r="A16" s="19" t="s">
        <v>139</v>
      </c>
      <c r="B16" s="20" t="s">
        <v>140</v>
      </c>
      <c r="C16" s="20" t="s">
        <v>141</v>
      </c>
      <c r="D16" s="20" t="s">
        <v>142</v>
      </c>
      <c r="E16" s="20" t="s">
        <v>143</v>
      </c>
      <c r="F16" s="19" t="n">
        <v>4</v>
      </c>
      <c r="G16" s="19" t="n">
        <v>3</v>
      </c>
      <c r="H16" s="19" t="n">
        <f aca="false">F16*G16</f>
        <v>12</v>
      </c>
      <c r="I16" s="17" t="s">
        <v>57</v>
      </c>
      <c r="J16" s="20" t="s">
        <v>144</v>
      </c>
      <c r="K16" s="19" t="n">
        <v>2</v>
      </c>
      <c r="L16" s="19" t="n">
        <v>2</v>
      </c>
      <c r="M16" s="19" t="n">
        <f aca="false">K16*L16</f>
        <v>4</v>
      </c>
      <c r="N16" s="21" t="s">
        <v>92</v>
      </c>
      <c r="O16" s="19" t="s">
        <v>60</v>
      </c>
      <c r="P16" s="20" t="s">
        <v>61</v>
      </c>
    </row>
    <row r="17" customFormat="false" ht="54.75" hidden="false" customHeight="true" outlineLevel="0" collapsed="false">
      <c r="A17" s="15" t="s">
        <v>145</v>
      </c>
      <c r="B17" s="16" t="s">
        <v>146</v>
      </c>
      <c r="C17" s="16" t="s">
        <v>147</v>
      </c>
      <c r="D17" s="16" t="s">
        <v>148</v>
      </c>
      <c r="E17" s="16" t="s">
        <v>149</v>
      </c>
      <c r="F17" s="15" t="n">
        <v>2</v>
      </c>
      <c r="G17" s="15" t="n">
        <v>5</v>
      </c>
      <c r="H17" s="15" t="n">
        <f aca="false">F17*G17</f>
        <v>10</v>
      </c>
      <c r="I17" s="17" t="s">
        <v>57</v>
      </c>
      <c r="J17" s="16" t="s">
        <v>150</v>
      </c>
      <c r="K17" s="15" t="n">
        <v>2</v>
      </c>
      <c r="L17" s="15" t="n">
        <v>3</v>
      </c>
      <c r="M17" s="15" t="n">
        <f aca="false">K17*L17</f>
        <v>6</v>
      </c>
      <c r="N17" s="18" t="s">
        <v>59</v>
      </c>
      <c r="O17" s="15" t="s">
        <v>151</v>
      </c>
      <c r="P17" s="16" t="s">
        <v>113</v>
      </c>
    </row>
  </sheetData>
  <autoFilter ref="A2:P17"/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8"/>
  </cols>
  <sheetData>
    <row r="1" customFormat="false" ht="13.5" hidden="false" customHeight="true" outlineLevel="0" collapsed="false">
      <c r="A1" s="13" t="s">
        <v>152</v>
      </c>
      <c r="B1" s="13"/>
      <c r="C1" s="13"/>
      <c r="D1" s="13"/>
      <c r="E1" s="13"/>
      <c r="F1" s="13"/>
      <c r="G1" s="13"/>
      <c r="H1" s="13"/>
      <c r="I1" s="13"/>
    </row>
    <row r="2" customFormat="false" ht="45" hidden="false" customHeight="true" outlineLevel="0" collapsed="false">
      <c r="A2" s="14" t="s">
        <v>36</v>
      </c>
      <c r="B2" s="14" t="s">
        <v>153</v>
      </c>
      <c r="C2" s="14" t="s">
        <v>49</v>
      </c>
      <c r="D2" s="14" t="s">
        <v>154</v>
      </c>
      <c r="E2" s="14" t="s">
        <v>155</v>
      </c>
      <c r="F2" s="14" t="s">
        <v>156</v>
      </c>
      <c r="G2" s="14" t="s">
        <v>157</v>
      </c>
      <c r="H2" s="14" t="s">
        <v>158</v>
      </c>
      <c r="I2" s="14" t="s">
        <v>159</v>
      </c>
    </row>
    <row r="3" customFormat="false" ht="79.5" hidden="false" customHeight="true" outlineLevel="0" collapsed="false">
      <c r="A3" s="15" t="s">
        <v>52</v>
      </c>
      <c r="B3" s="16" t="s">
        <v>160</v>
      </c>
      <c r="C3" s="17" t="s">
        <v>57</v>
      </c>
      <c r="D3" s="16" t="s">
        <v>161</v>
      </c>
      <c r="E3" s="15" t="s">
        <v>162</v>
      </c>
      <c r="F3" s="16" t="s">
        <v>61</v>
      </c>
      <c r="G3" s="15" t="s">
        <v>163</v>
      </c>
      <c r="H3" s="18" t="s">
        <v>164</v>
      </c>
      <c r="I3" s="16" t="s">
        <v>165</v>
      </c>
    </row>
    <row r="4" customFormat="false" ht="79.5" hidden="false" customHeight="true" outlineLevel="0" collapsed="false">
      <c r="A4" s="19" t="s">
        <v>62</v>
      </c>
      <c r="B4" s="20" t="s">
        <v>166</v>
      </c>
      <c r="C4" s="18" t="s">
        <v>59</v>
      </c>
      <c r="D4" s="20" t="s">
        <v>167</v>
      </c>
      <c r="E4" s="19" t="s">
        <v>168</v>
      </c>
      <c r="F4" s="20" t="s">
        <v>61</v>
      </c>
      <c r="G4" s="19" t="s">
        <v>169</v>
      </c>
      <c r="H4" s="18" t="s">
        <v>164</v>
      </c>
      <c r="I4" s="20" t="s">
        <v>170</v>
      </c>
    </row>
    <row r="5" customFormat="false" ht="79.5" hidden="false" customHeight="true" outlineLevel="0" collapsed="false">
      <c r="A5" s="15" t="s">
        <v>68</v>
      </c>
      <c r="B5" s="16" t="s">
        <v>171</v>
      </c>
      <c r="C5" s="18" t="s">
        <v>59</v>
      </c>
      <c r="D5" s="16" t="s">
        <v>172</v>
      </c>
      <c r="E5" s="15" t="s">
        <v>173</v>
      </c>
      <c r="F5" s="16" t="s">
        <v>12</v>
      </c>
      <c r="G5" s="15" t="s">
        <v>174</v>
      </c>
      <c r="H5" s="22" t="s">
        <v>175</v>
      </c>
      <c r="I5" s="16" t="s">
        <v>176</v>
      </c>
    </row>
    <row r="6" customFormat="false" ht="79.5" hidden="false" customHeight="true" outlineLevel="0" collapsed="false">
      <c r="A6" s="19" t="s">
        <v>74</v>
      </c>
      <c r="B6" s="20" t="s">
        <v>177</v>
      </c>
      <c r="C6" s="17" t="s">
        <v>57</v>
      </c>
      <c r="D6" s="20" t="s">
        <v>178</v>
      </c>
      <c r="E6" s="19" t="s">
        <v>179</v>
      </c>
      <c r="F6" s="20" t="s">
        <v>61</v>
      </c>
      <c r="G6" s="19" t="s">
        <v>163</v>
      </c>
      <c r="H6" s="18" t="s">
        <v>164</v>
      </c>
      <c r="I6" s="20" t="s">
        <v>180</v>
      </c>
    </row>
    <row r="7" customFormat="false" ht="79.5" hidden="false" customHeight="true" outlineLevel="0" collapsed="false">
      <c r="A7" s="15" t="s">
        <v>80</v>
      </c>
      <c r="B7" s="16" t="s">
        <v>181</v>
      </c>
      <c r="C7" s="18" t="s">
        <v>59</v>
      </c>
      <c r="D7" s="16" t="s">
        <v>182</v>
      </c>
      <c r="E7" s="15" t="s">
        <v>183</v>
      </c>
      <c r="F7" s="16" t="s">
        <v>12</v>
      </c>
      <c r="G7" s="15" t="s">
        <v>174</v>
      </c>
      <c r="H7" s="22" t="s">
        <v>175</v>
      </c>
      <c r="I7" s="16" t="s">
        <v>184</v>
      </c>
    </row>
    <row r="8" customFormat="false" ht="79.5" hidden="false" customHeight="true" outlineLevel="0" collapsed="false">
      <c r="A8" s="19" t="s">
        <v>86</v>
      </c>
      <c r="B8" s="20" t="s">
        <v>185</v>
      </c>
      <c r="C8" s="18" t="s">
        <v>59</v>
      </c>
      <c r="D8" s="20" t="s">
        <v>186</v>
      </c>
      <c r="E8" s="19" t="s">
        <v>187</v>
      </c>
      <c r="F8" s="20" t="s">
        <v>93</v>
      </c>
      <c r="G8" s="19" t="s">
        <v>163</v>
      </c>
      <c r="H8" s="22" t="s">
        <v>175</v>
      </c>
      <c r="I8" s="20" t="s">
        <v>188</v>
      </c>
    </row>
    <row r="9" customFormat="false" ht="79.5" hidden="false" customHeight="true" outlineLevel="0" collapsed="false">
      <c r="A9" s="15" t="s">
        <v>94</v>
      </c>
      <c r="B9" s="16" t="s">
        <v>189</v>
      </c>
      <c r="C9" s="18" t="s">
        <v>59</v>
      </c>
      <c r="D9" s="16" t="s">
        <v>190</v>
      </c>
      <c r="E9" s="15" t="s">
        <v>191</v>
      </c>
      <c r="F9" s="16" t="s">
        <v>61</v>
      </c>
      <c r="G9" s="15" t="s">
        <v>174</v>
      </c>
      <c r="H9" s="22" t="s">
        <v>175</v>
      </c>
      <c r="I9" s="16" t="s">
        <v>192</v>
      </c>
    </row>
    <row r="10" customFormat="false" ht="79.5" hidden="false" customHeight="true" outlineLevel="0" collapsed="false">
      <c r="A10" s="19" t="s">
        <v>100</v>
      </c>
      <c r="B10" s="20" t="s">
        <v>193</v>
      </c>
      <c r="C10" s="21" t="s">
        <v>92</v>
      </c>
      <c r="D10" s="20" t="s">
        <v>194</v>
      </c>
      <c r="E10" s="19" t="s">
        <v>195</v>
      </c>
      <c r="F10" s="20" t="s">
        <v>106</v>
      </c>
      <c r="G10" s="19" t="s">
        <v>196</v>
      </c>
      <c r="H10" s="22" t="s">
        <v>175</v>
      </c>
      <c r="I10" s="20" t="s">
        <v>197</v>
      </c>
    </row>
    <row r="11" customFormat="false" ht="79.5" hidden="false" customHeight="true" outlineLevel="0" collapsed="false">
      <c r="A11" s="15" t="s">
        <v>107</v>
      </c>
      <c r="B11" s="16" t="s">
        <v>198</v>
      </c>
      <c r="C11" s="18" t="s">
        <v>59</v>
      </c>
      <c r="D11" s="16" t="s">
        <v>199</v>
      </c>
      <c r="E11" s="15" t="s">
        <v>200</v>
      </c>
      <c r="F11" s="16" t="s">
        <v>113</v>
      </c>
      <c r="G11" s="15" t="s">
        <v>201</v>
      </c>
      <c r="H11" s="22" t="s">
        <v>175</v>
      </c>
      <c r="I11" s="16" t="s">
        <v>202</v>
      </c>
    </row>
    <row r="12" customFormat="false" ht="79.5" hidden="false" customHeight="true" outlineLevel="0" collapsed="false">
      <c r="A12" s="19" t="s">
        <v>114</v>
      </c>
      <c r="B12" s="20" t="s">
        <v>203</v>
      </c>
      <c r="C12" s="18" t="s">
        <v>59</v>
      </c>
      <c r="D12" s="20" t="s">
        <v>204</v>
      </c>
      <c r="E12" s="19" t="s">
        <v>205</v>
      </c>
      <c r="F12" s="20" t="s">
        <v>12</v>
      </c>
      <c r="G12" s="19" t="s">
        <v>206</v>
      </c>
      <c r="H12" s="22" t="s">
        <v>175</v>
      </c>
      <c r="I12" s="20" t="s">
        <v>207</v>
      </c>
    </row>
    <row r="13" customFormat="false" ht="79.5" hidden="false" customHeight="true" outlineLevel="0" collapsed="false">
      <c r="A13" s="15" t="s">
        <v>120</v>
      </c>
      <c r="B13" s="16" t="s">
        <v>208</v>
      </c>
      <c r="C13" s="18" t="s">
        <v>59</v>
      </c>
      <c r="D13" s="16" t="s">
        <v>209</v>
      </c>
      <c r="E13" s="15" t="s">
        <v>210</v>
      </c>
      <c r="F13" s="16" t="s">
        <v>61</v>
      </c>
      <c r="G13" s="15" t="s">
        <v>206</v>
      </c>
      <c r="H13" s="22" t="s">
        <v>175</v>
      </c>
      <c r="I13" s="16" t="s">
        <v>211</v>
      </c>
    </row>
    <row r="14" customFormat="false" ht="79.5" hidden="false" customHeight="true" outlineLevel="0" collapsed="false">
      <c r="A14" s="19" t="s">
        <v>126</v>
      </c>
      <c r="B14" s="20" t="s">
        <v>212</v>
      </c>
      <c r="C14" s="18" t="s">
        <v>59</v>
      </c>
      <c r="D14" s="20" t="s">
        <v>213</v>
      </c>
      <c r="E14" s="19" t="s">
        <v>214</v>
      </c>
      <c r="F14" s="20" t="s">
        <v>132</v>
      </c>
      <c r="G14" s="19" t="s">
        <v>163</v>
      </c>
      <c r="H14" s="22" t="s">
        <v>175</v>
      </c>
      <c r="I14" s="20" t="s">
        <v>215</v>
      </c>
    </row>
    <row r="15" customFormat="false" ht="79.5" hidden="false" customHeight="true" outlineLevel="0" collapsed="false">
      <c r="A15" s="15" t="s">
        <v>133</v>
      </c>
      <c r="B15" s="16" t="s">
        <v>216</v>
      </c>
      <c r="C15" s="17" t="s">
        <v>57</v>
      </c>
      <c r="D15" s="16" t="s">
        <v>217</v>
      </c>
      <c r="E15" s="15" t="s">
        <v>218</v>
      </c>
      <c r="F15" s="16" t="s">
        <v>61</v>
      </c>
      <c r="G15" s="15" t="s">
        <v>201</v>
      </c>
      <c r="H15" s="22" t="s">
        <v>175</v>
      </c>
      <c r="I15" s="16" t="s">
        <v>219</v>
      </c>
    </row>
    <row r="16" customFormat="false" ht="79.5" hidden="false" customHeight="true" outlineLevel="0" collapsed="false">
      <c r="A16" s="19" t="s">
        <v>139</v>
      </c>
      <c r="B16" s="20" t="s">
        <v>220</v>
      </c>
      <c r="C16" s="21" t="s">
        <v>92</v>
      </c>
      <c r="D16" s="20" t="s">
        <v>221</v>
      </c>
      <c r="E16" s="19" t="s">
        <v>222</v>
      </c>
      <c r="F16" s="20" t="s">
        <v>61</v>
      </c>
      <c r="G16" s="19" t="s">
        <v>169</v>
      </c>
      <c r="H16" s="18" t="s">
        <v>164</v>
      </c>
      <c r="I16" s="20" t="s">
        <v>223</v>
      </c>
    </row>
    <row r="17" customFormat="false" ht="79.5" hidden="false" customHeight="true" outlineLevel="0" collapsed="false">
      <c r="A17" s="15" t="s">
        <v>145</v>
      </c>
      <c r="B17" s="16" t="s">
        <v>224</v>
      </c>
      <c r="C17" s="18" t="s">
        <v>59</v>
      </c>
      <c r="D17" s="16" t="s">
        <v>225</v>
      </c>
      <c r="E17" s="15" t="s">
        <v>226</v>
      </c>
      <c r="F17" s="16" t="s">
        <v>113</v>
      </c>
      <c r="G17" s="15" t="s">
        <v>201</v>
      </c>
      <c r="H17" s="22" t="s">
        <v>175</v>
      </c>
      <c r="I17" s="16" t="s">
        <v>227</v>
      </c>
    </row>
  </sheetData>
  <autoFilter ref="A2:I17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30" hidden="false" customHeight="true" outlineLevel="0" collapsed="false">
      <c r="A1" s="23" t="s">
        <v>228</v>
      </c>
      <c r="B1" s="23"/>
      <c r="C1" s="23"/>
      <c r="D1" s="23"/>
      <c r="E1" s="23"/>
      <c r="F1" s="23"/>
      <c r="G1" s="23"/>
    </row>
    <row r="3" customFormat="false" ht="15" hidden="false" customHeight="false" outlineLevel="0" collapsed="false">
      <c r="A3" s="24" t="s">
        <v>229</v>
      </c>
      <c r="B3" s="13" t="s">
        <v>230</v>
      </c>
      <c r="C3" s="13"/>
      <c r="D3" s="13"/>
      <c r="E3" s="13"/>
      <c r="F3" s="13"/>
    </row>
    <row r="4" customFormat="false" ht="15" hidden="false" customHeight="false" outlineLevel="0" collapsed="false">
      <c r="B4" s="25" t="s">
        <v>231</v>
      </c>
      <c r="C4" s="25" t="s">
        <v>232</v>
      </c>
      <c r="D4" s="25" t="s">
        <v>233</v>
      </c>
      <c r="E4" s="25" t="s">
        <v>234</v>
      </c>
      <c r="F4" s="25" t="s">
        <v>235</v>
      </c>
    </row>
    <row r="5" customFormat="false" ht="60" hidden="false" customHeight="true" outlineLevel="0" collapsed="false">
      <c r="A5" s="25" t="s">
        <v>236</v>
      </c>
      <c r="B5" s="26" t="s">
        <v>237</v>
      </c>
      <c r="C5" s="27" t="s">
        <v>238</v>
      </c>
      <c r="D5" s="27" t="s">
        <v>239</v>
      </c>
      <c r="E5" s="28" t="s">
        <v>240</v>
      </c>
      <c r="F5" s="28" t="s">
        <v>241</v>
      </c>
    </row>
    <row r="6" customFormat="false" ht="60" hidden="false" customHeight="true" outlineLevel="0" collapsed="false">
      <c r="A6" s="25" t="s">
        <v>242</v>
      </c>
      <c r="B6" s="29" t="s">
        <v>243</v>
      </c>
      <c r="C6" s="26" t="s">
        <v>244</v>
      </c>
      <c r="D6" s="27" t="s">
        <v>245</v>
      </c>
      <c r="E6" s="27" t="s">
        <v>246</v>
      </c>
      <c r="F6" s="28" t="s">
        <v>240</v>
      </c>
    </row>
    <row r="7" customFormat="false" ht="60" hidden="false" customHeight="true" outlineLevel="0" collapsed="false">
      <c r="A7" s="25" t="s">
        <v>247</v>
      </c>
      <c r="B7" s="29" t="s">
        <v>248</v>
      </c>
      <c r="C7" s="26" t="s">
        <v>249</v>
      </c>
      <c r="D7" s="26" t="s">
        <v>250</v>
      </c>
      <c r="E7" s="27" t="s">
        <v>245</v>
      </c>
      <c r="F7" s="27" t="s">
        <v>239</v>
      </c>
    </row>
    <row r="8" customFormat="false" ht="60" hidden="false" customHeight="true" outlineLevel="0" collapsed="false">
      <c r="A8" s="25" t="s">
        <v>251</v>
      </c>
      <c r="B8" s="29" t="s">
        <v>252</v>
      </c>
      <c r="C8" s="29" t="s">
        <v>243</v>
      </c>
      <c r="D8" s="26" t="s">
        <v>249</v>
      </c>
      <c r="E8" s="26" t="s">
        <v>244</v>
      </c>
      <c r="F8" s="27" t="s">
        <v>238</v>
      </c>
    </row>
    <row r="9" customFormat="false" ht="60" hidden="false" customHeight="true" outlineLevel="0" collapsed="false">
      <c r="A9" s="25" t="s">
        <v>253</v>
      </c>
      <c r="B9" s="29" t="s">
        <v>254</v>
      </c>
      <c r="C9" s="29" t="s">
        <v>252</v>
      </c>
      <c r="D9" s="29" t="s">
        <v>248</v>
      </c>
      <c r="E9" s="29" t="s">
        <v>243</v>
      </c>
      <c r="F9" s="26" t="s">
        <v>237</v>
      </c>
    </row>
    <row r="11" customFormat="false" ht="15" hidden="false" customHeight="false" outlineLevel="0" collapsed="false">
      <c r="A11" s="6" t="s">
        <v>255</v>
      </c>
      <c r="B11" s="6"/>
      <c r="C11" s="6"/>
      <c r="D11" s="6"/>
      <c r="E11" s="6"/>
      <c r="F11" s="6"/>
      <c r="G11" s="6"/>
    </row>
    <row r="12" customFormat="false" ht="15" hidden="false" customHeight="false" outlineLevel="0" collapsed="false">
      <c r="A12" s="30" t="s">
        <v>36</v>
      </c>
      <c r="B12" s="30" t="s">
        <v>256</v>
      </c>
      <c r="C12" s="30" t="s">
        <v>257</v>
      </c>
      <c r="D12" s="30" t="s">
        <v>258</v>
      </c>
      <c r="E12" s="30" t="s">
        <v>259</v>
      </c>
      <c r="F12" s="30" t="s">
        <v>260</v>
      </c>
      <c r="G12" s="30" t="s">
        <v>261</v>
      </c>
    </row>
    <row r="13" customFormat="false" ht="15" hidden="false" customHeight="false" outlineLevel="0" collapsed="false">
      <c r="A13" s="31" t="s">
        <v>52</v>
      </c>
      <c r="B13" s="31" t="s">
        <v>262</v>
      </c>
      <c r="C13" s="31" t="s">
        <v>263</v>
      </c>
      <c r="D13" s="31" t="s">
        <v>264</v>
      </c>
      <c r="E13" s="31" t="s">
        <v>265</v>
      </c>
      <c r="F13" s="17" t="s">
        <v>57</v>
      </c>
      <c r="G13" s="31" t="s">
        <v>266</v>
      </c>
    </row>
    <row r="14" customFormat="false" ht="15" hidden="false" customHeight="false" outlineLevel="0" collapsed="false">
      <c r="A14" s="32" t="s">
        <v>62</v>
      </c>
      <c r="B14" s="32" t="s">
        <v>267</v>
      </c>
      <c r="C14" s="32" t="s">
        <v>268</v>
      </c>
      <c r="D14" s="32" t="s">
        <v>268</v>
      </c>
      <c r="E14" s="32" t="s">
        <v>269</v>
      </c>
      <c r="F14" s="17" t="s">
        <v>57</v>
      </c>
      <c r="G14" s="32" t="s">
        <v>266</v>
      </c>
    </row>
    <row r="15" customFormat="false" ht="15" hidden="false" customHeight="false" outlineLevel="0" collapsed="false">
      <c r="A15" s="31" t="s">
        <v>68</v>
      </c>
      <c r="B15" s="31" t="s">
        <v>270</v>
      </c>
      <c r="C15" s="31" t="s">
        <v>268</v>
      </c>
      <c r="D15" s="31" t="s">
        <v>268</v>
      </c>
      <c r="E15" s="31" t="s">
        <v>269</v>
      </c>
      <c r="F15" s="17" t="s">
        <v>57</v>
      </c>
      <c r="G15" s="31" t="s">
        <v>266</v>
      </c>
    </row>
    <row r="16" customFormat="false" ht="15" hidden="false" customHeight="false" outlineLevel="0" collapsed="false">
      <c r="A16" s="32" t="s">
        <v>74</v>
      </c>
      <c r="B16" s="32" t="s">
        <v>271</v>
      </c>
      <c r="C16" s="32" t="s">
        <v>263</v>
      </c>
      <c r="D16" s="32" t="s">
        <v>264</v>
      </c>
      <c r="E16" s="32" t="s">
        <v>265</v>
      </c>
      <c r="F16" s="17" t="s">
        <v>57</v>
      </c>
      <c r="G16" s="32" t="s">
        <v>266</v>
      </c>
    </row>
    <row r="17" customFormat="false" ht="15" hidden="false" customHeight="false" outlineLevel="0" collapsed="false">
      <c r="A17" s="31" t="s">
        <v>80</v>
      </c>
      <c r="B17" s="31" t="s">
        <v>272</v>
      </c>
      <c r="C17" s="31" t="s">
        <v>263</v>
      </c>
      <c r="D17" s="31" t="s">
        <v>268</v>
      </c>
      <c r="E17" s="31" t="s">
        <v>273</v>
      </c>
      <c r="F17" s="17" t="s">
        <v>57</v>
      </c>
      <c r="G17" s="31" t="s">
        <v>266</v>
      </c>
    </row>
    <row r="18" customFormat="false" ht="15" hidden="false" customHeight="false" outlineLevel="0" collapsed="false">
      <c r="A18" s="32" t="s">
        <v>86</v>
      </c>
      <c r="B18" s="32" t="s">
        <v>274</v>
      </c>
      <c r="C18" s="32" t="s">
        <v>275</v>
      </c>
      <c r="D18" s="32" t="s">
        <v>264</v>
      </c>
      <c r="E18" s="32" t="s">
        <v>276</v>
      </c>
      <c r="F18" s="17" t="s">
        <v>57</v>
      </c>
      <c r="G18" s="32" t="s">
        <v>266</v>
      </c>
    </row>
    <row r="19" customFormat="false" ht="15" hidden="false" customHeight="false" outlineLevel="0" collapsed="false">
      <c r="A19" s="31" t="s">
        <v>94</v>
      </c>
      <c r="B19" s="31" t="s">
        <v>277</v>
      </c>
      <c r="C19" s="31" t="s">
        <v>263</v>
      </c>
      <c r="D19" s="31" t="s">
        <v>268</v>
      </c>
      <c r="E19" s="31" t="s">
        <v>273</v>
      </c>
      <c r="F19" s="17" t="s">
        <v>57</v>
      </c>
      <c r="G19" s="31" t="s">
        <v>266</v>
      </c>
    </row>
    <row r="20" customFormat="false" ht="15" hidden="false" customHeight="false" outlineLevel="0" collapsed="false">
      <c r="A20" s="32" t="s">
        <v>100</v>
      </c>
      <c r="B20" s="32" t="s">
        <v>278</v>
      </c>
      <c r="C20" s="32" t="s">
        <v>275</v>
      </c>
      <c r="D20" s="32" t="s">
        <v>268</v>
      </c>
      <c r="E20" s="32" t="s">
        <v>279</v>
      </c>
      <c r="F20" s="18" t="s">
        <v>59</v>
      </c>
      <c r="G20" s="32" t="s">
        <v>266</v>
      </c>
    </row>
    <row r="21" customFormat="false" ht="15" hidden="false" customHeight="false" outlineLevel="0" collapsed="false">
      <c r="A21" s="31" t="s">
        <v>107</v>
      </c>
      <c r="B21" s="31" t="s">
        <v>280</v>
      </c>
      <c r="C21" s="31" t="s">
        <v>263</v>
      </c>
      <c r="D21" s="31" t="s">
        <v>268</v>
      </c>
      <c r="E21" s="31" t="s">
        <v>273</v>
      </c>
      <c r="F21" s="17" t="s">
        <v>57</v>
      </c>
      <c r="G21" s="31" t="s">
        <v>266</v>
      </c>
    </row>
    <row r="22" customFormat="false" ht="15" hidden="false" customHeight="false" outlineLevel="0" collapsed="false">
      <c r="A22" s="32" t="s">
        <v>114</v>
      </c>
      <c r="B22" s="32" t="s">
        <v>281</v>
      </c>
      <c r="C22" s="32" t="s">
        <v>275</v>
      </c>
      <c r="D22" s="32" t="s">
        <v>264</v>
      </c>
      <c r="E22" s="32" t="s">
        <v>276</v>
      </c>
      <c r="F22" s="17" t="s">
        <v>57</v>
      </c>
      <c r="G22" s="32" t="s">
        <v>266</v>
      </c>
    </row>
    <row r="23" customFormat="false" ht="15" hidden="false" customHeight="false" outlineLevel="0" collapsed="false">
      <c r="A23" s="31" t="s">
        <v>120</v>
      </c>
      <c r="B23" s="31" t="s">
        <v>282</v>
      </c>
      <c r="C23" s="31" t="s">
        <v>263</v>
      </c>
      <c r="D23" s="31" t="s">
        <v>268</v>
      </c>
      <c r="E23" s="31" t="s">
        <v>273</v>
      </c>
      <c r="F23" s="17" t="s">
        <v>57</v>
      </c>
      <c r="G23" s="31" t="s">
        <v>266</v>
      </c>
    </row>
    <row r="24" customFormat="false" ht="15" hidden="false" customHeight="false" outlineLevel="0" collapsed="false">
      <c r="A24" s="32" t="s">
        <v>126</v>
      </c>
      <c r="B24" s="32" t="s">
        <v>283</v>
      </c>
      <c r="C24" s="32" t="s">
        <v>275</v>
      </c>
      <c r="D24" s="32" t="s">
        <v>264</v>
      </c>
      <c r="E24" s="32" t="s">
        <v>276</v>
      </c>
      <c r="F24" s="17" t="s">
        <v>57</v>
      </c>
      <c r="G24" s="32" t="s">
        <v>266</v>
      </c>
    </row>
    <row r="25" customFormat="false" ht="15" hidden="false" customHeight="false" outlineLevel="0" collapsed="false">
      <c r="A25" s="31" t="s">
        <v>133</v>
      </c>
      <c r="B25" s="31" t="s">
        <v>284</v>
      </c>
      <c r="C25" s="31" t="s">
        <v>268</v>
      </c>
      <c r="D25" s="31" t="s">
        <v>268</v>
      </c>
      <c r="E25" s="31" t="s">
        <v>269</v>
      </c>
      <c r="F25" s="17" t="s">
        <v>57</v>
      </c>
      <c r="G25" s="31" t="s">
        <v>266</v>
      </c>
    </row>
    <row r="26" customFormat="false" ht="15" hidden="false" customHeight="false" outlineLevel="0" collapsed="false">
      <c r="A26" s="32" t="s">
        <v>139</v>
      </c>
      <c r="B26" s="32" t="s">
        <v>285</v>
      </c>
      <c r="C26" s="32" t="s">
        <v>268</v>
      </c>
      <c r="D26" s="32" t="s">
        <v>263</v>
      </c>
      <c r="E26" s="32" t="s">
        <v>273</v>
      </c>
      <c r="F26" s="17" t="s">
        <v>57</v>
      </c>
      <c r="G26" s="32" t="s">
        <v>266</v>
      </c>
    </row>
    <row r="27" customFormat="false" ht="15" hidden="false" customHeight="false" outlineLevel="0" collapsed="false">
      <c r="A27" s="31" t="s">
        <v>145</v>
      </c>
      <c r="B27" s="31" t="s">
        <v>286</v>
      </c>
      <c r="C27" s="31" t="s">
        <v>275</v>
      </c>
      <c r="D27" s="31" t="s">
        <v>264</v>
      </c>
      <c r="E27" s="31" t="s">
        <v>276</v>
      </c>
      <c r="F27" s="17" t="s">
        <v>57</v>
      </c>
      <c r="G27" s="31" t="s">
        <v>266</v>
      </c>
    </row>
  </sheetData>
  <mergeCells count="3">
    <mergeCell ref="A1:G1"/>
    <mergeCell ref="B3:F3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2026-09-28T07:01:36Z</dcterms:created>
  <dc:creator>openpyxl</dc:creator>
  <dc:description/>
  <dc:language>en-US</dc:language>
  <cp:lastModifiedBy/>
  <dcterms:modified xsi:type="dcterms:W3CDTF">2026-09-28T07:01:36Z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